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" sheetId="1" state="visible" r:id="rId1"/>
    <sheet xmlns:r="http://schemas.openxmlformats.org/officeDocument/2006/relationships" name="Ownership" sheetId="2" state="visible" r:id="rId2"/>
    <sheet xmlns:r="http://schemas.openxmlformats.org/officeDocument/2006/relationships" name="Finance" sheetId="3" state="visible" r:id="rId3"/>
    <sheet xmlns:r="http://schemas.openxmlformats.org/officeDocument/2006/relationships" name="Limit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0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808080"/>
    </font>
    <font>
      <b val="1"/>
      <color rgb="00FFFFFF"/>
      <sz val="12"/>
    </font>
    <font>
      <b val="1"/>
    </font>
    <font>
      <i val="1"/>
      <color rgb="00C0000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3" fontId="4" fillId="0" borderId="1" pivotButton="0" quotePrefix="0" xfId="0"/>
    <xf numFmtId="0" fontId="0" fillId="0" borderId="1" applyAlignment="1" pivotButton="0" quotePrefix="0" xfId="0">
      <alignment vertical="top" wrapText="1"/>
    </xf>
    <xf numFmtId="164" fontId="4" fillId="0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vertical="top" wrapText="1"/>
    </xf>
    <xf numFmtId="165" fontId="4" fillId="0" borderId="1" pivotButton="0" quotePrefix="0" xfId="0"/>
    <xf numFmtId="2" fontId="4" fillId="0" borderId="1" pivotButton="0" quotePrefix="0" xfId="0"/>
    <xf numFmtId="165" fontId="0" fillId="0" borderId="0" pivotButton="0" quotePrefix="0" xfId="0"/>
    <xf numFmtId="0" fontId="4" fillId="0" borderId="0" pivotButton="0" quotePrefix="0" xfId="0"/>
    <xf numFmtId="164" fontId="0" fillId="0" borderId="1" pivotButton="0" quotePrefix="0" xfId="0"/>
    <xf numFmtId="2" fontId="0" fillId="0" borderId="1" pivotButton="0" quotePrefix="0" xfId="0"/>
    <xf numFmtId="2" fontId="4" fillId="0" borderId="0" pivotButton="0" quotePrefix="0" xfId="0"/>
    <xf numFmtId="4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Your yearly litre-share of each product (10-share lot)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'Ownership'!D13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'Ownership'!$A$14:$A$19</f>
            </numRef>
          </cat>
          <val>
            <numRef>
              <f>'Ownership'!$D$14:$D$19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Litres per year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2" customWidth="1" min="3" max="3"/>
    <col width="62" customWidth="1" min="4" max="4"/>
  </cols>
  <sheetData>
    <row r="1">
      <c r="A1" s="1" t="inlineStr">
        <is>
          <t>VERIFIED SOURCE DATA — Dangote Refinery IPO Prospectus (7 Sept 2026, SEC-registered)</t>
        </is>
      </c>
    </row>
    <row r="2">
      <c r="A2" s="2" t="inlineStr">
        <is>
          <t>Every figure below was read directly from the prospectus. Page references included. Do not edit this tab.</t>
        </is>
      </c>
    </row>
    <row r="4">
      <c r="A4" s="3" t="inlineStr">
        <is>
          <t>Item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s="4" t="inlineStr">
        <is>
          <t>Shares in issue pre-offer</t>
        </is>
      </c>
      <c r="B5" s="5" t="n">
        <v>120128915901</v>
      </c>
      <c r="C5" s="4" t="inlineStr">
        <is>
          <t>shares</t>
        </is>
      </c>
      <c r="D5" s="6" t="inlineStr">
        <is>
          <t>Prospectus p.33 &amp; p.62 (post private placement)</t>
        </is>
      </c>
    </row>
    <row r="6">
      <c r="A6" s="4" t="inlineStr">
        <is>
          <t>IPO offer shares (base)</t>
        </is>
      </c>
      <c r="B6" s="5" t="n">
        <v>4100000000</v>
      </c>
      <c r="C6" s="4" t="inlineStr">
        <is>
          <t>shares</t>
        </is>
      </c>
      <c r="D6" s="6" t="inlineStr">
        <is>
          <t>Prospectus p.34</t>
        </is>
      </c>
    </row>
    <row r="7">
      <c r="A7" s="4" t="inlineStr">
        <is>
          <t>Greenshoe / oversubscription cap</t>
        </is>
      </c>
      <c r="B7" s="7" t="n">
        <v>0.3</v>
      </c>
      <c r="C7" s="4" t="inlineStr">
        <is>
          <t>fraction</t>
        </is>
      </c>
      <c r="D7" s="6" t="inlineStr">
        <is>
          <t>Prospectus p.37 item 24 — 'up to 30% subject to SEC approval'</t>
        </is>
      </c>
    </row>
    <row r="8">
      <c r="A8" s="4" t="inlineStr">
        <is>
          <t>Offer price</t>
        </is>
      </c>
      <c r="B8" s="8" t="n">
        <v>525</v>
      </c>
      <c r="C8" s="4" t="inlineStr">
        <is>
          <t>NGN/share</t>
        </is>
      </c>
      <c r="D8" s="6" t="inlineStr">
        <is>
          <t>Prospectus p.34</t>
        </is>
      </c>
    </row>
    <row r="9">
      <c r="A9" s="4" t="inlineStr">
        <is>
          <t>Minimum subscription lot</t>
        </is>
      </c>
      <c r="B9" s="8" t="n">
        <v>10</v>
      </c>
      <c r="C9" s="4" t="inlineStr">
        <is>
          <t>shares</t>
        </is>
      </c>
      <c r="D9" s="6" t="inlineStr">
        <is>
          <t>Prospectus p.37 item 22</t>
        </is>
      </c>
    </row>
    <row r="10">
      <c r="A10" s="4" t="inlineStr">
        <is>
          <t>Indicative market cap at listing</t>
        </is>
      </c>
      <c r="B10" s="5" t="n">
        <v>65220180848025</v>
      </c>
      <c r="C10" s="4" t="inlineStr">
        <is>
          <t>NGN</t>
        </is>
      </c>
      <c r="D10" s="6" t="inlineStr">
        <is>
          <t>Prospectus p.35 item 17</t>
        </is>
      </c>
    </row>
    <row r="11">
      <c r="A11" s="4" t="inlineStr">
        <is>
          <t>Nameplate capacity (rerated)</t>
        </is>
      </c>
      <c r="B11" s="8" t="n">
        <v>700000</v>
      </c>
      <c r="C11" s="4" t="inlineStr">
        <is>
          <t>bpd</t>
        </is>
      </c>
      <c r="D11" s="6" t="inlineStr">
        <is>
          <t>Prospectus p.16 &amp; p.108 (design 650,000; rerated after June 2026 tests)</t>
        </is>
      </c>
    </row>
    <row r="12">
      <c r="A12" s="4" t="inlineStr">
        <is>
          <t>Litres per barrel</t>
        </is>
      </c>
      <c r="B12" s="8" t="n">
        <v>158.987</v>
      </c>
      <c r="C12" s="4" t="inlineStr">
        <is>
          <t>L</t>
        </is>
      </c>
      <c r="D12" s="6" t="inlineStr">
        <is>
          <t>Standard industry conversion (42 US gal)</t>
        </is>
      </c>
    </row>
    <row r="13">
      <c r="A13" s="4" t="inlineStr">
        <is>
          <t>H1 2026 period length</t>
        </is>
      </c>
      <c r="B13" s="8" t="n">
        <v>181</v>
      </c>
      <c r="C13" s="4" t="inlineStr">
        <is>
          <t>days</t>
        </is>
      </c>
      <c r="D13" s="6" t="inlineStr">
        <is>
          <t>1 Jan – 30 Jun 2026</t>
        </is>
      </c>
    </row>
    <row r="14">
      <c r="A14" s="4" t="inlineStr">
        <is>
          <t>H1 2026 revenue</t>
        </is>
      </c>
      <c r="B14" s="5" t="n">
        <v>13909531000</v>
      </c>
      <c r="C14" s="4" t="inlineStr">
        <is>
          <t>USD</t>
        </is>
      </c>
      <c r="D14" s="6" t="inlineStr">
        <is>
          <t>Prospectus p.76 (audited, Deloitte)</t>
        </is>
      </c>
    </row>
    <row r="15">
      <c r="A15" s="4" t="inlineStr">
        <is>
          <t>H1 2026 profit after tax</t>
        </is>
      </c>
      <c r="B15" s="5" t="n">
        <v>1820514000</v>
      </c>
      <c r="C15" s="4" t="inlineStr">
        <is>
          <t>USD</t>
        </is>
      </c>
      <c r="D15" s="6" t="inlineStr">
        <is>
          <t>Prospectus p.76 (audited, Deloitte)</t>
        </is>
      </c>
    </row>
    <row r="16">
      <c r="A16" s="4" t="inlineStr">
        <is>
          <t>H1 2026 closing FX rate</t>
        </is>
      </c>
      <c r="B16" s="8" t="n">
        <v>1377</v>
      </c>
      <c r="C16" s="4" t="inlineStr">
        <is>
          <t>NGN/USD</t>
        </is>
      </c>
      <c r="D16" s="6" t="inlineStr">
        <is>
          <t>Prospectus p.17</t>
        </is>
      </c>
    </row>
    <row r="17">
      <c r="A17" s="4" t="inlineStr">
        <is>
          <t>Yield — PMS (petrol)</t>
        </is>
      </c>
      <c r="B17" s="7" t="n">
        <v>0.399</v>
      </c>
      <c r="C17" s="4" t="inlineStr">
        <is>
          <t>fraction</t>
        </is>
      </c>
      <c r="D17" s="6" t="inlineStr">
        <is>
          <t>Prospectus p.111 (12 months to 30 Jun 2026)</t>
        </is>
      </c>
    </row>
    <row r="18">
      <c r="A18" s="4" t="inlineStr">
        <is>
          <t>Yield — AGO (diesel)</t>
        </is>
      </c>
      <c r="B18" s="7" t="n">
        <v>0.214</v>
      </c>
      <c r="C18" s="4" t="inlineStr">
        <is>
          <t>fraction</t>
        </is>
      </c>
      <c r="D18" s="6" t="inlineStr">
        <is>
          <t>Prospectus p.111</t>
        </is>
      </c>
    </row>
    <row r="19">
      <c r="A19" s="4" t="inlineStr">
        <is>
          <t>Yield — ATF (jet fuel)</t>
        </is>
      </c>
      <c r="B19" s="7" t="n">
        <v>0.206</v>
      </c>
      <c r="C19" s="4" t="inlineStr">
        <is>
          <t>fraction</t>
        </is>
      </c>
      <c r="D19" s="6" t="inlineStr">
        <is>
          <t>Prospectus p.111</t>
        </is>
      </c>
    </row>
    <row r="20">
      <c r="A20" s="4" t="inlineStr">
        <is>
          <t>Yield — RCO + CBFS</t>
        </is>
      </c>
      <c r="B20" s="7" t="n">
        <v>0.166</v>
      </c>
      <c r="C20" s="4" t="inlineStr">
        <is>
          <t>fraction</t>
        </is>
      </c>
      <c r="D20" s="6" t="inlineStr">
        <is>
          <t>Prospectus p.111</t>
        </is>
      </c>
    </row>
    <row r="21">
      <c r="A21" s="4" t="inlineStr">
        <is>
          <t>Yield — LPG</t>
        </is>
      </c>
      <c r="B21" s="7" t="n">
        <v>0.013</v>
      </c>
      <c r="C21" s="4" t="inlineStr">
        <is>
          <t>fraction</t>
        </is>
      </c>
      <c r="D21" s="6" t="inlineStr">
        <is>
          <t>Prospectus p.111</t>
        </is>
      </c>
    </row>
    <row r="22">
      <c r="A22" s="4" t="inlineStr">
        <is>
          <t>Yield — Polypropylene</t>
        </is>
      </c>
      <c r="B22" s="7" t="n">
        <v>0.002</v>
      </c>
      <c r="C22" s="4" t="inlineStr">
        <is>
          <t>fraction</t>
        </is>
      </c>
      <c r="D22" s="6" t="inlineStr">
        <is>
          <t>Prospectus p.111</t>
        </is>
      </c>
    </row>
    <row r="23">
      <c r="A23" s="4" t="inlineStr">
        <is>
          <t>Est. gross refining margin 2026</t>
        </is>
      </c>
      <c r="B23" s="8" t="n">
        <v>24.2</v>
      </c>
      <c r="C23" s="4" t="inlineStr">
        <is>
          <t>USD/bbl</t>
        </is>
      </c>
      <c r="D23" s="6" t="inlineStr">
        <is>
          <t>Prospectus p.80 (Issuer estimate, not a guarantee)</t>
        </is>
      </c>
    </row>
    <row r="24">
      <c r="A24" s="4" t="inlineStr">
        <is>
          <t>Original capital investment</t>
        </is>
      </c>
      <c r="B24" s="5" t="n">
        <v>19000000000</v>
      </c>
      <c r="C24" s="4" t="inlineStr">
        <is>
          <t>USD</t>
        </is>
      </c>
      <c r="D24" s="6" t="inlineStr">
        <is>
          <t>Prospectus p.100</t>
        </is>
      </c>
    </row>
    <row r="25">
      <c r="A25" s="4" t="inlineStr">
        <is>
          <t>Original design capacity</t>
        </is>
      </c>
      <c r="B25" s="8" t="n">
        <v>650000</v>
      </c>
      <c r="C25" s="4" t="inlineStr">
        <is>
          <t>bpd</t>
        </is>
      </c>
      <c r="D25" s="6" t="inlineStr">
        <is>
          <t>Prospectus p.16</t>
        </is>
      </c>
    </row>
    <row r="26">
      <c r="A26" s="4" t="inlineStr">
        <is>
          <t>Expansion capex (programme)</t>
        </is>
      </c>
      <c r="B26" s="5" t="n">
        <v>14300000000</v>
      </c>
      <c r="C26" s="4" t="inlineStr">
        <is>
          <t>USD</t>
        </is>
      </c>
      <c r="D26" s="6" t="inlineStr">
        <is>
          <t>Prospectus p.34</t>
        </is>
      </c>
    </row>
    <row r="27">
      <c r="A27" s="4" t="inlineStr">
        <is>
          <t>Expansion added capacity</t>
        </is>
      </c>
      <c r="B27" s="8" t="n">
        <v>700000</v>
      </c>
      <c r="C27" s="4" t="inlineStr">
        <is>
          <t>bpd</t>
        </is>
      </c>
      <c r="D27" s="6" t="inlineStr">
        <is>
          <t>Prospectus p.34 (target 2029)</t>
        </is>
      </c>
    </row>
    <row r="29">
      <c r="A29" s="9" t="inlineStr">
        <is>
          <t>NOTE 1: Media reported H1 revenue as $14.4bn; the audited prospectus figure is $13.91bn. Prospectus wins.</t>
        </is>
      </c>
    </row>
    <row r="30">
      <c r="A30" s="9" t="inlineStr">
        <is>
          <t>NOTE 2: Internal discrepancy — KPMG extract (p.70) shows N'revenue 19,153,842m vs Historical Financial Info (p.76) 19,134,942m (~0.1%). USD figures agree. All outputs presented in USD.</t>
        </is>
      </c>
    </row>
  </sheetData>
  <mergeCells count="2">
    <mergeCell ref="A29:D29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6" customWidth="1" min="3" max="3"/>
    <col width="28" customWidth="1" min="4" max="4"/>
  </cols>
  <sheetData>
    <row r="1">
      <c r="A1" s="1" t="inlineStr">
        <is>
          <t>WHAT DOES A SHARE ACTUALLY OWN? — physical refinery units</t>
        </is>
      </c>
    </row>
    <row r="3">
      <c r="A3" s="4" t="inlineStr">
        <is>
          <t>Post-offer shares (base offer)</t>
        </is>
      </c>
      <c r="B3" s="8">
        <f>Source!B5+Source!B6</f>
        <v/>
      </c>
    </row>
    <row r="4">
      <c r="A4" s="4" t="inlineStr">
        <is>
          <t>Post-offer shares (greenshoe fully exercised)</t>
        </is>
      </c>
      <c r="B4" s="5">
        <f>Source!B5+Source!B6*(1+Source!B7)</f>
        <v/>
      </c>
    </row>
    <row r="5">
      <c r="A5" s="4" t="inlineStr">
        <is>
          <t>Barrels per day per share (base)</t>
        </is>
      </c>
      <c r="B5" s="5">
        <f>Source!B11/B4</f>
        <v/>
      </c>
    </row>
    <row r="6">
      <c r="A6" s="4" t="inlineStr">
        <is>
          <t>Millilitres of crude per share, per day</t>
        </is>
      </c>
      <c r="B6" s="10">
        <f>B6*Source!B12*1000</f>
        <v/>
      </c>
    </row>
    <row r="7">
      <c r="A7" s="4" t="inlineStr">
        <is>
          <t>Millilitres per minimum lot (10 shares), per day</t>
        </is>
      </c>
      <c r="B7" s="11">
        <f>B7*Source!B9</f>
        <v/>
      </c>
    </row>
    <row r="8">
      <c r="A8" s="4" t="inlineStr">
        <is>
          <t>Teaspoons per minimum lot, per day (1 tsp = 5 mL)</t>
        </is>
      </c>
      <c r="B8" s="11">
        <f>B8/5</f>
        <v/>
      </c>
    </row>
    <row r="9">
      <c r="A9" s="4" t="inlineStr">
        <is>
          <t>% of the entire refinery per minimum lot</t>
        </is>
      </c>
      <c r="B9" s="11">
        <f>Source!B9/B4*100</f>
        <v/>
      </c>
    </row>
    <row r="10">
      <c r="B10" s="12" t="n"/>
    </row>
    <row r="12">
      <c r="A12" s="13" t="inlineStr">
        <is>
          <t>YOUR DAILY 9 mL, SPLIT BY THE REFINERY'S ACTUAL PRODUCT YIELDS (p.111)</t>
        </is>
      </c>
    </row>
    <row r="13">
      <c r="A13" s="3" t="inlineStr">
        <is>
          <t>Product</t>
        </is>
      </c>
      <c r="B13" s="3" t="inlineStr">
        <is>
          <t>Yield (actual)</t>
        </is>
      </c>
      <c r="C13" s="3" t="inlineStr">
        <is>
          <t>mL/day (per 10-share lot)</t>
        </is>
      </c>
      <c r="D13" s="3" t="inlineStr">
        <is>
          <t>Litres/year (per 10-share lot)</t>
        </is>
      </c>
    </row>
    <row r="14">
      <c r="A14" s="4" t="inlineStr">
        <is>
          <t>PMS (petrol)</t>
        </is>
      </c>
      <c r="B14" s="14">
        <f>Source!B16</f>
        <v/>
      </c>
      <c r="C14" s="15">
        <f>$B$8*B14</f>
        <v/>
      </c>
      <c r="D14" s="15">
        <f>C14*365/1000</f>
        <v/>
      </c>
    </row>
    <row r="15">
      <c r="A15" s="4" t="inlineStr">
        <is>
          <t>AGO (diesel)</t>
        </is>
      </c>
      <c r="B15" s="14">
        <f>Source!B17</f>
        <v/>
      </c>
      <c r="C15" s="15">
        <f>$B$8*B15</f>
        <v/>
      </c>
      <c r="D15" s="15">
        <f>C15*365/1000</f>
        <v/>
      </c>
    </row>
    <row r="16">
      <c r="A16" s="4" t="inlineStr">
        <is>
          <t>ATF (jet fuel)</t>
        </is>
      </c>
      <c r="B16" s="14">
        <f>Source!B18</f>
        <v/>
      </c>
      <c r="C16" s="15">
        <f>$B$8*B16</f>
        <v/>
      </c>
      <c r="D16" s="15">
        <f>C16*365/1000</f>
        <v/>
      </c>
    </row>
    <row r="17">
      <c r="A17" s="4" t="inlineStr">
        <is>
          <t>RCO + CBFS</t>
        </is>
      </c>
      <c r="B17" s="14">
        <f>Source!B19</f>
        <v/>
      </c>
      <c r="C17" s="15">
        <f>$B$8*B17</f>
        <v/>
      </c>
      <c r="D17" s="15">
        <f>C17*365/1000</f>
        <v/>
      </c>
    </row>
    <row r="18">
      <c r="A18" s="4" t="inlineStr">
        <is>
          <t>LPG</t>
        </is>
      </c>
      <c r="B18" s="14">
        <f>Source!B20</f>
        <v/>
      </c>
      <c r="C18" s="15">
        <f>$B$8*B18</f>
        <v/>
      </c>
      <c r="D18" s="15">
        <f>C18*365/1000</f>
        <v/>
      </c>
    </row>
    <row r="19">
      <c r="A19" s="4" t="inlineStr">
        <is>
          <t>Polypropylene</t>
        </is>
      </c>
      <c r="B19" s="14">
        <f>Source!B21</f>
        <v/>
      </c>
      <c r="C19" s="15">
        <f>$B$8*B19</f>
        <v/>
      </c>
      <c r="D19" s="15">
        <f>C19*365/1000</f>
        <v/>
      </c>
    </row>
    <row r="20">
      <c r="A20" s="13" t="inlineStr">
        <is>
          <t>Total</t>
        </is>
      </c>
      <c r="C20" s="16">
        <f>SUM(C14:C19)</f>
        <v/>
      </c>
      <c r="D20" s="16">
        <f>SUM(D14:D19)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THE MONEY LAYER — what your ₦5,250 earns (H1 2026 audited, annualized as a stated assumption)</t>
        </is>
      </c>
    </row>
    <row r="3">
      <c r="A3" s="4" t="inlineStr">
        <is>
          <t>H1 2026 daily revenue (USD)</t>
        </is>
      </c>
      <c r="B3" s="17">
        <f>Source!B13/Source!B14</f>
        <v/>
      </c>
    </row>
    <row r="4">
      <c r="A4" s="4" t="inlineStr">
        <is>
          <t>H1 2026 daily profit after tax (USD)</t>
        </is>
      </c>
      <c r="B4" s="17">
        <f>Source!B15/Source!B14</f>
        <v/>
      </c>
    </row>
    <row r="5">
      <c r="A5" s="4" t="inlineStr">
        <is>
          <t>Annualized revenue per 10-share lot (USD)</t>
        </is>
      </c>
      <c r="B5" s="17">
        <f>B3/Ownership!B4*Source!B9*365</f>
        <v/>
      </c>
    </row>
    <row r="6">
      <c r="A6" s="4" t="inlineStr">
        <is>
          <t>Annualized profit per 10-share lot (USD)</t>
        </is>
      </c>
      <c r="B6" s="17">
        <f>B4/Ownership!B4*Source!B9*365</f>
        <v/>
      </c>
    </row>
    <row r="7">
      <c r="A7" s="4" t="inlineStr">
        <is>
          <t>Annualized profit per 10-share lot (NGN @ 1,377)</t>
        </is>
      </c>
      <c r="B7" s="17">
        <f>B6*Source!B16</f>
        <v/>
      </c>
    </row>
    <row r="8">
      <c r="A8" s="4" t="inlineStr">
        <is>
          <t>Simple payback if 100% of profit paid out (years)</t>
        </is>
      </c>
      <c r="B8" s="17">
        <f>Source!B9*Source!B8/B7</f>
        <v/>
      </c>
    </row>
    <row r="9">
      <c r="A9" s="4" t="inlineStr">
        <is>
          <t>Annualized PAT, whole company (USD)</t>
        </is>
      </c>
      <c r="B9" s="17">
        <f>Source!B15*2</f>
        <v/>
      </c>
    </row>
    <row r="10">
      <c r="A10" s="4" t="inlineStr">
        <is>
          <t>Market cap at listing (USD @ 1,377)</t>
        </is>
      </c>
      <c r="B10" s="17">
        <f>Source!B10/Source!B16</f>
        <v/>
      </c>
    </row>
    <row r="11">
      <c r="A11" s="4" t="inlineStr">
        <is>
          <t>IMPLIED P/E (market cap ÷ annualized PAT)</t>
        </is>
      </c>
      <c r="B11" s="17">
        <f>B9/B8</f>
        <v/>
      </c>
    </row>
    <row r="12">
      <c r="A12" s="4" t="inlineStr">
        <is>
          <t>Hypothetical 100% dividend per 10-share lot</t>
        </is>
      </c>
      <c r="B12" s="17">
        <f>B6</f>
        <v/>
      </c>
    </row>
    <row r="13">
      <c r="A13" s="4" t="inlineStr">
        <is>
          <t>...which would be paid in US DOLLARS</t>
        </is>
      </c>
      <c r="B13" s="17" t="inlineStr">
        <is>
          <t>(per prospectus dividend policy, pp.129-133 — user-verified)</t>
        </is>
      </c>
    </row>
    <row r="14">
      <c r="A14" s="4" t="inlineStr">
        <is>
          <t>Gross refining margin per 10-share lot, per year (USD)</t>
        </is>
      </c>
      <c r="B14" s="17">
        <f>Ownership!B6*Source!B9*365*Source!B22</f>
        <v/>
      </c>
    </row>
    <row r="15">
      <c r="A15" s="4" t="inlineStr">
        <is>
          <t>Capex per bpd — original build</t>
        </is>
      </c>
      <c r="B15" s="17">
        <f>Source!B23/Source!B24</f>
        <v/>
      </c>
    </row>
    <row r="16">
      <c r="A16" s="18" t="inlineStr">
        <is>
          <t>⚠ Annualizing H1 is an arithmetic exercise, NOT a forecast. Refining margins fluctuate with crude and product prices.</t>
        </is>
      </c>
      <c r="B16" s="8">
        <f>Source!B25/Source!B26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LIMITATIONS &amp; HONEST CAVEATS — publish these alongside the results</t>
        </is>
      </c>
    </row>
    <row r="3">
      <c r="A3" s="6" t="inlineStr">
        <is>
          <t>1. Per-share throughput assumes steady-state at the rerated 700,000 bpd nameplate. Actual throughput varies with maintenance, crude mix and market conditions.</t>
        </is>
      </c>
    </row>
    <row r="4">
      <c r="A4" s="6" t="inlineStr">
        <is>
          <t>2. The greenshoe (up to 30% more shares, p.37) would dilute per-share figures by ~1%. Base-offer numbers used; full-exercise numbers shown on Ownership tab.</t>
        </is>
      </c>
    </row>
    <row r="5">
      <c r="A5" s="6" t="inlineStr">
        <is>
          <t>3. Annualizing H1 2026 (×2) assumes the second half performs identically. It is an assumption, not management guidance. Refining is cyclical.</t>
        </is>
      </c>
    </row>
    <row r="6">
      <c r="A6" s="6" t="inlineStr">
        <is>
          <t>4. Product yields are the actual 12-month figures to 30 June 2026 (p.111) — but yields shift with crude slate and operating mode.</t>
        </is>
      </c>
    </row>
    <row r="7">
      <c r="A7" s="6" t="inlineStr">
        <is>
          <t>5. Internal prospectus discrepancy: p.70 vs p.76 Naira revenue/PAT differ by ~0.1%; USD figures agree, so USD is used throughout.</t>
        </is>
      </c>
    </row>
    <row r="8">
      <c r="A8" s="6" t="inlineStr">
        <is>
          <t>6. Media reported H1 revenue of $14.4bn; the audited prospectus says $13.91bn. The prospectus figure is used.</t>
        </is>
      </c>
    </row>
    <row r="9">
      <c r="A9" s="6" t="inlineStr">
        <is>
          <t>7. GRM of $24.2/bbl is the Issuer's own 2026 estimate (p.80), not an audited actual and not guaranteed.</t>
        </is>
      </c>
    </row>
    <row r="10">
      <c r="A10" s="6" t="inlineStr">
        <is>
          <t>8. Market cap is the indicative listing valuation, not a market-tested price.</t>
        </is>
      </c>
    </row>
    <row r="11">
      <c r="A11" s="6" t="inlineStr">
        <is>
          <t>9. Dividend amount/timing is not guaranteed; the policy states payment in USD (pp.129-133) but payout ratio is not assumed here.</t>
        </is>
      </c>
    </row>
    <row r="12">
      <c r="A12" s="6" t="inlineStr">
        <is>
          <t>10. This is an educational analysis of public documents. It is NOT investment advice.</t>
        </is>
      </c>
    </row>
    <row r="13">
      <c r="A13" s="6" t="inlineStr">
        <is>
          <t>Sources: Dangote Petroleum Refinery &amp; Petrochemicals FZE — IPO Prospectus, 7 September 2026 (SEC-registered). All page references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2026-09-23T17:57:57Z</dcterms:created>
  <dcterms:modified xmlns:dcterms="http://purl.org/dc/terms/" xmlns:xsi="http://www.w3.org/2001/XMLSchema-instance" xsi:type="dcterms:W3CDTF">2026-09-23T17:57:57Z</dcterms:modified>
</cp:coreProperties>
</file>